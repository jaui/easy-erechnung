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3"/>
  </bookViews>
  <sheets>
    <sheet name="_Anleitung" r:id="rId3" sheetId="1"/>
    <sheet name="Setup" r:id="rId4" sheetId="2"/>
    <sheet name="Kunden" r:id="rId5" sheetId="3"/>
    <sheet name="2026-09" r:id="rId6" sheetId="4"/>
  </sheets>
</workbook>
</file>

<file path=xl/sharedStrings.xml><?xml version="1.0" encoding="utf-8"?>
<sst xmlns="http://schemas.openxmlformats.org/spreadsheetml/2006/main" count="85" uniqueCount="70">
  <si>
    <t>Rechnungen für easy-erechnung (ZUGFeRD / Factur-X EN16931, optional XRechnung)</t>
  </si>
  <si>
    <t/>
  </si>
  <si>
    <t>Blatt "Setup": eigene Daten (Spalte A Bezeichnung, Spalte B Wert). Kleinunternehmer = ja → § 19 UStG, keine Umsatzsteuer.</t>
  </si>
  <si>
    <t>Blatt "Kunden": ein Kunde pro Zeile; im Rechnungsblatt wird er über das Kürzel ausgewählt.</t>
  </si>
  <si>
    <t>Jedes weitere Blatt = eine Rechnung (Blattname frei, z. B. 2026-09). Blätter mit "_" am Anfang werden ignoriert.</t>
  </si>
  <si>
    <t xml:space="preserve">  Kopf: Rechnungsnummer, Rechnungsdatum, Kunde, optional Bestellnummer, Käuferreferenz (Leitweg-ID/BT-10),</t>
  </si>
  <si>
    <t xml:space="preserve">        Leistungszeitraum von/bis (sonst Monat der Rechnungsnummer bzw. des Rechnungsdatums), Fälligkeit, Gesamtbetrag (Kontrolle).</t>
  </si>
  <si>
    <t xml:space="preserve">  Positionen: Datum | Typ (Stunde oder Stück) | Beschreibung | Menge | Einzelpreis</t>
  </si>
  <si>
    <t>Aufruf: gradlew excelRechnungen -Pexcel=&lt;datei.xlsx&gt; [-Psheet=&lt;Blatt&gt;]  →  rechnungen.out/excel/&lt;Rechnung&gt;/</t>
  </si>
  <si>
    <t>Mit Käuferreferenz wird zusätzlich eine XRechnung (CII) erzeugt; dafür sind E-Mail und Telefon im Setup Pflicht.</t>
  </si>
  <si>
    <t>Fehlende Pflichtangaben führen zu einer Fehlermeldung mit Blatt und Zeile – es wird nichts ergänzt oder geraten.</t>
  </si>
  <si>
    <t>Bezeichnung</t>
  </si>
  <si>
    <t>Wert</t>
  </si>
  <si>
    <t>Name</t>
  </si>
  <si>
    <t>Max Mustermann</t>
  </si>
  <si>
    <t>Straße</t>
  </si>
  <si>
    <t>Musterweg 1</t>
  </si>
  <si>
    <t>PLZ</t>
  </si>
  <si>
    <t>01067</t>
  </si>
  <si>
    <t>Ort</t>
  </si>
  <si>
    <t>Dresden</t>
  </si>
  <si>
    <t>Land</t>
  </si>
  <si>
    <t>DE</t>
  </si>
  <si>
    <t>Steuernummer</t>
  </si>
  <si>
    <t>201/123/45678</t>
  </si>
  <si>
    <t>USt-IdNr</t>
  </si>
  <si>
    <t>E-Mail</t>
  </si>
  <si>
    <t>max@example.org</t>
  </si>
  <si>
    <t>Telefon</t>
  </si>
  <si>
    <t>+49 351 000000</t>
  </si>
  <si>
    <t>IBAN</t>
  </si>
  <si>
    <t>DE02120300000000202051</t>
  </si>
  <si>
    <t>BIC</t>
  </si>
  <si>
    <t>BYLADEM1001</t>
  </si>
  <si>
    <t>Kontoinhaber</t>
  </si>
  <si>
    <t>Kleinunternehmer</t>
  </si>
  <si>
    <t>ja</t>
  </si>
  <si>
    <t>Umsatzsteuer %</t>
  </si>
  <si>
    <t>Zahlungsziel Tage</t>
  </si>
  <si>
    <t>Befreiungsgrund</t>
  </si>
  <si>
    <t>Kleinunternehmer gemäß § 19 UStG</t>
  </si>
  <si>
    <t>Kürzel</t>
  </si>
  <si>
    <t>Ansprechpartner</t>
  </si>
  <si>
    <t>Käuferreferenz</t>
  </si>
  <si>
    <t>MUSTER</t>
  </si>
  <si>
    <t>Musterfirma GmbH</t>
  </si>
  <si>
    <t>Musterstraße 10</t>
  </si>
  <si>
    <t>01099</t>
  </si>
  <si>
    <t>Frau Muster</t>
  </si>
  <si>
    <t>rechnung@example.com</t>
  </si>
  <si>
    <t>Rechnungsnummer</t>
  </si>
  <si>
    <t>September/2026</t>
  </si>
  <si>
    <t>Rechnungsdatum</t>
  </si>
  <si>
    <t>Kunde</t>
  </si>
  <si>
    <t>Bestellnummer</t>
  </si>
  <si>
    <t>PO 4711</t>
  </si>
  <si>
    <t>Leistungszeitraum von</t>
  </si>
  <si>
    <t>Leistungszeitraum bis</t>
  </si>
  <si>
    <t>Fälligkeit</t>
  </si>
  <si>
    <t>Gesamtbetrag</t>
  </si>
  <si>
    <t>Datum</t>
  </si>
  <si>
    <t>Typ</t>
  </si>
  <si>
    <t>Beschreibung</t>
  </si>
  <si>
    <t>Menge</t>
  </si>
  <si>
    <t>Einzelpreis</t>
  </si>
  <si>
    <t>Stunde</t>
  </si>
  <si>
    <t>Durchführung der Probe</t>
  </si>
  <si>
    <t>Leitung des Auftritts</t>
  </si>
  <si>
    <t>Stück</t>
  </si>
  <si>
    <t>Fahrtkosten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</si>
</sst>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#,##0.00 &quot;€&quot;"/>
    <numFmt numFmtId="166" formatCode="#,##0.##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1" fillId="3" borderId="1" xfId="0" applyFont="true" applyFill="true" applyBorder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"/>
  <sheetViews>
    <sheetView workbookViewId="0" tabSelected="true"/>
  </sheetViews>
  <sheetFormatPr defaultRowHeight="15.0"/>
  <cols>
    <col min="1" max="1" width="140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1</v>
      </c>
    </row>
    <row r="10">
      <c r="A10" t="s" s="0">
        <v>8</v>
      </c>
    </row>
    <row r="11">
      <c r="A11" t="s" s="0">
        <v>9</v>
      </c>
    </row>
    <row r="12">
      <c r="A12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2.0" customWidth="true"/>
    <col min="2" max="2" width="45.0" customWidth="true"/>
  </cols>
  <sheetData>
    <row r="1">
      <c r="A1" t="s" s="2">
        <v>11</v>
      </c>
      <c r="B1" t="s" s="2">
        <v>12</v>
      </c>
    </row>
    <row r="2">
      <c r="A2" t="s" s="0">
        <v>13</v>
      </c>
      <c r="B2" t="s" s="0">
        <v>14</v>
      </c>
    </row>
    <row r="3">
      <c r="A3" t="s" s="0">
        <v>15</v>
      </c>
      <c r="B3" t="s" s="0">
        <v>16</v>
      </c>
    </row>
    <row r="4">
      <c r="A4" t="s" s="0">
        <v>17</v>
      </c>
      <c r="B4" t="s" s="0">
        <v>18</v>
      </c>
    </row>
    <row r="5">
      <c r="A5" t="s" s="0">
        <v>19</v>
      </c>
      <c r="B5" t="s" s="0">
        <v>20</v>
      </c>
    </row>
    <row r="6">
      <c r="A6" t="s" s="0">
        <v>21</v>
      </c>
      <c r="B6" t="s" s="0">
        <v>22</v>
      </c>
    </row>
    <row r="7">
      <c r="A7" t="s" s="0">
        <v>23</v>
      </c>
      <c r="B7" t="s" s="0">
        <v>24</v>
      </c>
    </row>
    <row r="8">
      <c r="A8" t="s" s="0">
        <v>25</v>
      </c>
      <c r="B8" s="0"/>
    </row>
    <row r="9">
      <c r="A9" t="s" s="0">
        <v>26</v>
      </c>
      <c r="B9" t="s" s="0">
        <v>27</v>
      </c>
    </row>
    <row r="10">
      <c r="A10" t="s" s="0">
        <v>28</v>
      </c>
      <c r="B10" t="s" s="0">
        <v>29</v>
      </c>
    </row>
    <row r="11">
      <c r="A11" t="s" s="0">
        <v>30</v>
      </c>
      <c r="B11" t="s" s="0">
        <v>31</v>
      </c>
    </row>
    <row r="12">
      <c r="A12" t="s" s="0">
        <v>32</v>
      </c>
      <c r="B12" t="s" s="0">
        <v>33</v>
      </c>
    </row>
    <row r="13">
      <c r="A13" t="s" s="0">
        <v>34</v>
      </c>
      <c r="B13" t="s" s="0">
        <v>14</v>
      </c>
    </row>
    <row r="14">
      <c r="A14" t="s" s="0">
        <v>35</v>
      </c>
      <c r="B14" t="s" s="0">
        <v>36</v>
      </c>
    </row>
    <row r="15">
      <c r="A15" t="s" s="0">
        <v>37</v>
      </c>
      <c r="B15" t="n" s="0">
        <v>19.0</v>
      </c>
    </row>
    <row r="16">
      <c r="A16" t="s" s="0">
        <v>38</v>
      </c>
      <c r="B16" t="n" s="0">
        <v>14.0</v>
      </c>
    </row>
    <row r="17">
      <c r="A17" t="s" s="0">
        <v>39</v>
      </c>
      <c r="B17" t="s" s="0">
        <v>40</v>
      </c>
    </row>
  </sheetData>
  <dataValidations count="1">
    <dataValidation type="list" sqref="B14" allowBlank="true" errorStyle="stop">
      <formula1>"ja,nein"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2.0" customWidth="true"/>
    <col min="2" max="2" width="40.0" customWidth="true"/>
    <col min="3" max="3" width="28.0" customWidth="true"/>
    <col min="4" max="4" width="8.0" customWidth="true"/>
    <col min="5" max="5" width="16.0" customWidth="true"/>
    <col min="6" max="6" width="6.0" customWidth="true"/>
    <col min="7" max="7" width="20.0" customWidth="true"/>
    <col min="8" max="8" width="30.0" customWidth="true"/>
    <col min="9" max="9" width="22.0" customWidth="true"/>
  </cols>
  <sheetData>
    <row r="1">
      <c r="A1" t="s" s="2">
        <v>41</v>
      </c>
      <c r="B1" t="s" s="2">
        <v>13</v>
      </c>
      <c r="C1" t="s" s="2">
        <v>15</v>
      </c>
      <c r="D1" t="s" s="2">
        <v>17</v>
      </c>
      <c r="E1" t="s" s="2">
        <v>19</v>
      </c>
      <c r="F1" t="s" s="2">
        <v>21</v>
      </c>
      <c r="G1" t="s" s="2">
        <v>42</v>
      </c>
      <c r="H1" t="s" s="2">
        <v>26</v>
      </c>
      <c r="I1" t="s" s="2">
        <v>43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20</v>
      </c>
      <c r="F2" t="s" s="0">
        <v>22</v>
      </c>
      <c r="G2" t="s" s="0">
        <v>48</v>
      </c>
      <c r="H2" t="s" s="0">
        <v>49</v>
      </c>
      <c r="I2" s="0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22.0" customWidth="true"/>
    <col min="2" max="2" width="10.0" customWidth="true"/>
    <col min="3" max="3" width="50.0" customWidth="true"/>
    <col min="4" max="4" width="10.0" customWidth="true"/>
    <col min="5" max="5" width="14.0" customWidth="true"/>
  </cols>
  <sheetData>
    <row r="1">
      <c r="A1" t="s" s="1">
        <v>50</v>
      </c>
      <c r="B1" t="s" s="0">
        <v>51</v>
      </c>
    </row>
    <row r="2">
      <c r="A2" t="s" s="1">
        <v>52</v>
      </c>
      <c r="B2" t="n" s="3">
        <v>46295.0</v>
      </c>
    </row>
    <row r="3">
      <c r="A3" t="s" s="1">
        <v>53</v>
      </c>
      <c r="B3" t="s" s="0">
        <v>44</v>
      </c>
    </row>
    <row r="4">
      <c r="A4" t="s" s="1">
        <v>54</v>
      </c>
      <c r="B4" t="s" s="0">
        <v>55</v>
      </c>
    </row>
    <row r="5">
      <c r="A5" t="s" s="1">
        <v>43</v>
      </c>
      <c r="B5" s="0"/>
    </row>
    <row r="6">
      <c r="A6" t="s" s="1">
        <v>56</v>
      </c>
      <c r="B6" t="n" s="3">
        <v>46266.0</v>
      </c>
    </row>
    <row r="7">
      <c r="A7" t="s" s="1">
        <v>57</v>
      </c>
      <c r="B7" t="n" s="3">
        <v>46295.0</v>
      </c>
    </row>
    <row r="8">
      <c r="A8" t="s" s="1">
        <v>58</v>
      </c>
      <c r="B8" s="0"/>
    </row>
    <row r="9">
      <c r="A9" t="s" s="1">
        <v>59</v>
      </c>
      <c r="B9" s="4" t="n">
        <f>SUMPRODUCT(D12:D200,E12:E200)</f>
        <v>330.0</v>
      </c>
    </row>
    <row r="11">
      <c r="A11" t="s" s="2">
        <v>60</v>
      </c>
      <c r="B11" t="s" s="2">
        <v>61</v>
      </c>
      <c r="C11" t="s" s="2">
        <v>62</v>
      </c>
      <c r="D11" t="s" s="2">
        <v>63</v>
      </c>
      <c r="E11" t="s" s="2">
        <v>64</v>
      </c>
    </row>
    <row r="12">
      <c r="A12" t="n" s="3">
        <v>46267.0</v>
      </c>
      <c r="B12" t="s" s="0">
        <v>65</v>
      </c>
      <c r="C12" t="s" s="0">
        <v>66</v>
      </c>
      <c r="D12" t="n" s="5">
        <v>1.5</v>
      </c>
      <c r="E12" t="n" s="4">
        <v>60.0</v>
      </c>
    </row>
    <row r="13">
      <c r="A13" t="n" s="3">
        <v>46274.0</v>
      </c>
      <c r="B13" t="s" s="0">
        <v>65</v>
      </c>
      <c r="C13" t="s" s="0">
        <v>66</v>
      </c>
      <c r="D13" t="n" s="5">
        <v>1.5</v>
      </c>
      <c r="E13" t="n" s="4">
        <v>60.0</v>
      </c>
    </row>
    <row r="14">
      <c r="A14" t="n" s="3">
        <v>46281.0</v>
      </c>
      <c r="B14" t="s" s="0">
        <v>65</v>
      </c>
      <c r="C14" t="s" s="0">
        <v>67</v>
      </c>
      <c r="D14" t="n" s="5">
        <v>2.0</v>
      </c>
      <c r="E14" t="n" s="4">
        <v>60.0</v>
      </c>
    </row>
    <row r="15">
      <c r="A15" s="0"/>
      <c r="B15" t="s" s="0">
        <v>68</v>
      </c>
      <c r="C15" t="s" s="0">
        <v>69</v>
      </c>
      <c r="D15" t="n" s="5">
        <v>3.0</v>
      </c>
      <c r="E15" t="n" s="4">
        <v>10.0</v>
      </c>
    </row>
  </sheetData>
  <dataValidations count="1">
    <dataValidation type="list" sqref="B12:B200" allowBlank="true" errorStyle="stop" showErrorMessage="true">
      <formula1>"Stunde,Stück"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2026-09-30T08:24:59Z</dcterms:created>
  <dc:creator>Apache POI</dc:creator>
</cp:coreProperties>
</file>